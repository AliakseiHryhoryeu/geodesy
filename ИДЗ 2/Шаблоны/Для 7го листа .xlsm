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9105" tabRatio="351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D25" i="1" l="1"/>
  <c r="D26" i="1"/>
  <c r="D27" i="1"/>
  <c r="D30" i="1"/>
  <c r="D31" i="1"/>
  <c r="D32" i="1"/>
  <c r="D33" i="1"/>
  <c r="D36" i="1"/>
  <c r="D37" i="1"/>
  <c r="D38" i="1"/>
  <c r="D39" i="1"/>
  <c r="D42" i="1"/>
  <c r="D43" i="1"/>
  <c r="D44" i="1"/>
  <c r="D45" i="1"/>
  <c r="L2" i="1"/>
  <c r="L17" i="1"/>
  <c r="L16" i="1"/>
  <c r="L15" i="1"/>
  <c r="L14" i="1"/>
  <c r="B17" i="1"/>
  <c r="B16" i="1"/>
  <c r="B15" i="1"/>
  <c r="B14" i="1"/>
  <c r="B3" i="1"/>
  <c r="L5" i="1" l="1"/>
  <c r="L4" i="1"/>
  <c r="L3" i="1"/>
  <c r="B5" i="1"/>
  <c r="B4" i="1"/>
  <c r="B2" i="1"/>
</calcChain>
</file>

<file path=xl/sharedStrings.xml><?xml version="1.0" encoding="utf-8"?>
<sst xmlns="http://schemas.openxmlformats.org/spreadsheetml/2006/main" count="78" uniqueCount="38">
  <si>
    <t>А1</t>
  </si>
  <si>
    <t>Г1</t>
  </si>
  <si>
    <t>В1</t>
  </si>
  <si>
    <t>Б1</t>
  </si>
  <si>
    <t>Проектная</t>
  </si>
  <si>
    <t>Уклон Х</t>
  </si>
  <si>
    <t>Уклон Y</t>
  </si>
  <si>
    <t>Yij</t>
  </si>
  <si>
    <t>Xij</t>
  </si>
  <si>
    <t>Хцт</t>
  </si>
  <si>
    <t>Уцт</t>
  </si>
  <si>
    <t>Hцт</t>
  </si>
  <si>
    <t>Г2</t>
  </si>
  <si>
    <t>В2</t>
  </si>
  <si>
    <t>Б2</t>
  </si>
  <si>
    <t>А2</t>
  </si>
  <si>
    <t>Г3</t>
  </si>
  <si>
    <t>В3</t>
  </si>
  <si>
    <t>Б3</t>
  </si>
  <si>
    <t>А3</t>
  </si>
  <si>
    <t>Г4</t>
  </si>
  <si>
    <t>В4</t>
  </si>
  <si>
    <t>Б4</t>
  </si>
  <si>
    <t>А4</t>
  </si>
  <si>
    <t>Г1-А1</t>
  </si>
  <si>
    <t>Г3-А3</t>
  </si>
  <si>
    <t>Г4-А4</t>
  </si>
  <si>
    <t>Г2-А2</t>
  </si>
  <si>
    <t>Проектные</t>
  </si>
  <si>
    <t>Фактичекие</t>
  </si>
  <si>
    <t>Разность</t>
  </si>
  <si>
    <t>Г</t>
  </si>
  <si>
    <t>В</t>
  </si>
  <si>
    <t>Б</t>
  </si>
  <si>
    <t>А</t>
  </si>
  <si>
    <t>Рабочие отметки</t>
  </si>
  <si>
    <t>Для определения границы нуль. Работ</t>
  </si>
  <si>
    <t>Вычесление обьемов треугольников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</si>
</sst>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32</xdr:row>
          <xdr:rowOff>28575</xdr:rowOff>
        </xdr:from>
        <xdr:to>
          <xdr:col>11</xdr:col>
          <xdr:colOff>762000</xdr:colOff>
          <xdr:row>35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40</xdr:row>
          <xdr:rowOff>19050</xdr:rowOff>
        </xdr:from>
        <xdr:to>
          <xdr:col>12</xdr:col>
          <xdr:colOff>0</xdr:colOff>
          <xdr:row>44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45"/>
  <sheetViews>
    <sheetView tabSelected="1" zoomScale="115" zoomScaleNormal="115" workbookViewId="0">
      <selection activeCell="F34" sqref="F34"/>
    </sheetView>
  </sheetViews>
  <sheetFormatPr defaultRowHeight="15" x14ac:dyDescent="0.25"/>
  <cols>
    <col min="2" max="2" width="11.28515625" bestFit="1" customWidth="1"/>
    <col min="3" max="3" width="11.85546875" bestFit="1" customWidth="1"/>
    <col min="12" max="12" width="12.42578125" bestFit="1" customWidth="1"/>
    <col min="13" max="13" width="10.7109375" bestFit="1" customWidth="1"/>
  </cols>
  <sheetData>
    <row r="1" spans="1:17" x14ac:dyDescent="0.25">
      <c r="A1" s="2" t="s">
        <v>24</v>
      </c>
      <c r="B1" s="1" t="s">
        <v>4</v>
      </c>
      <c r="C1" t="s">
        <v>8</v>
      </c>
      <c r="D1" t="s">
        <v>9</v>
      </c>
      <c r="E1" t="s">
        <v>7</v>
      </c>
      <c r="F1" t="s">
        <v>10</v>
      </c>
      <c r="G1" t="s">
        <v>11</v>
      </c>
      <c r="K1" s="2" t="s">
        <v>27</v>
      </c>
      <c r="L1" s="1" t="s">
        <v>4</v>
      </c>
      <c r="M1" t="s">
        <v>8</v>
      </c>
      <c r="N1" t="s">
        <v>9</v>
      </c>
      <c r="O1" t="s">
        <v>7</v>
      </c>
      <c r="P1" t="s">
        <v>10</v>
      </c>
      <c r="Q1" t="s">
        <v>11</v>
      </c>
    </row>
    <row r="2" spans="1:17" x14ac:dyDescent="0.25">
      <c r="A2" t="s">
        <v>1</v>
      </c>
      <c r="B2" s="1">
        <f>G2-B$8*(C2-D2)-B$9*(E2-F2)</f>
        <v>157.02100000000002</v>
      </c>
      <c r="C2">
        <v>60</v>
      </c>
      <c r="D2">
        <v>30</v>
      </c>
      <c r="E2">
        <v>0</v>
      </c>
      <c r="F2">
        <v>30</v>
      </c>
      <c r="G2">
        <v>156.43</v>
      </c>
      <c r="K2" t="s">
        <v>12</v>
      </c>
      <c r="L2" s="1">
        <f>Q2-L$8*(M2-N2)-L$9*(O2-P2)</f>
        <v>156.715</v>
      </c>
      <c r="M2">
        <v>60</v>
      </c>
      <c r="N2">
        <v>30</v>
      </c>
      <c r="O2">
        <v>20</v>
      </c>
      <c r="P2">
        <v>30</v>
      </c>
      <c r="Q2">
        <v>156.43</v>
      </c>
    </row>
    <row r="3" spans="1:17" x14ac:dyDescent="0.25">
      <c r="A3" t="s">
        <v>2</v>
      </c>
      <c r="B3" s="1">
        <f>G3-B$8*(C3-D3)-B$9*(E3-F3)</f>
        <v>156.93300000000002</v>
      </c>
      <c r="C3">
        <v>40</v>
      </c>
      <c r="D3">
        <v>30</v>
      </c>
      <c r="E3">
        <v>0</v>
      </c>
      <c r="F3">
        <v>30</v>
      </c>
      <c r="G3">
        <v>156.43</v>
      </c>
      <c r="K3" t="s">
        <v>13</v>
      </c>
      <c r="L3" s="1">
        <f>Q3-L$8*(M3-N3)-L$9*(O3-P3)</f>
        <v>156.62700000000001</v>
      </c>
      <c r="M3">
        <v>40</v>
      </c>
      <c r="N3">
        <v>30</v>
      </c>
      <c r="O3">
        <v>20</v>
      </c>
      <c r="P3">
        <v>30</v>
      </c>
      <c r="Q3">
        <v>156.43</v>
      </c>
    </row>
    <row r="4" spans="1:17" x14ac:dyDescent="0.25">
      <c r="A4" t="s">
        <v>3</v>
      </c>
      <c r="B4" s="1">
        <f>G4-B$8*(C4-D4)-B$9*(E4-F4)</f>
        <v>156.845</v>
      </c>
      <c r="C4">
        <v>20</v>
      </c>
      <c r="D4">
        <v>30</v>
      </c>
      <c r="E4">
        <v>0</v>
      </c>
      <c r="F4">
        <v>30</v>
      </c>
      <c r="G4">
        <v>156.43</v>
      </c>
      <c r="K4" t="s">
        <v>14</v>
      </c>
      <c r="L4" s="1">
        <f>Q4-L$8*(M4-N4)-L$9*(O4-P4)</f>
        <v>156.53899999999999</v>
      </c>
      <c r="M4">
        <v>20</v>
      </c>
      <c r="N4">
        <v>30</v>
      </c>
      <c r="O4">
        <v>20</v>
      </c>
      <c r="P4">
        <v>30</v>
      </c>
      <c r="Q4">
        <v>156.43</v>
      </c>
    </row>
    <row r="5" spans="1:17" x14ac:dyDescent="0.25">
      <c r="A5" t="s">
        <v>0</v>
      </c>
      <c r="B5" s="1">
        <f>G5-B$8*(C5-D5)-B$9*(E5-F5)</f>
        <v>156.75700000000001</v>
      </c>
      <c r="C5">
        <v>0</v>
      </c>
      <c r="D5">
        <v>30</v>
      </c>
      <c r="E5">
        <v>0</v>
      </c>
      <c r="F5">
        <v>30</v>
      </c>
      <c r="G5">
        <v>156.43</v>
      </c>
      <c r="K5" t="s">
        <v>15</v>
      </c>
      <c r="L5" s="1">
        <f>Q5-L$8*(M5-N5)-L$9*(O5-P5)</f>
        <v>156.45099999999999</v>
      </c>
      <c r="M5">
        <v>0</v>
      </c>
      <c r="N5">
        <v>30</v>
      </c>
      <c r="O5">
        <v>20</v>
      </c>
      <c r="P5">
        <v>30</v>
      </c>
      <c r="Q5">
        <v>156.43</v>
      </c>
    </row>
    <row r="8" spans="1:17" x14ac:dyDescent="0.25">
      <c r="A8" t="s">
        <v>5</v>
      </c>
      <c r="B8">
        <v>-4.4000000000000003E-3</v>
      </c>
      <c r="K8" t="s">
        <v>5</v>
      </c>
      <c r="L8">
        <v>-4.4000000000000003E-3</v>
      </c>
    </row>
    <row r="9" spans="1:17" x14ac:dyDescent="0.25">
      <c r="A9" t="s">
        <v>6</v>
      </c>
      <c r="B9">
        <v>1.5299999999999999E-2</v>
      </c>
      <c r="K9" t="s">
        <v>6</v>
      </c>
      <c r="L9">
        <v>1.5299999999999999E-2</v>
      </c>
    </row>
    <row r="13" spans="1:17" x14ac:dyDescent="0.25">
      <c r="A13" s="2" t="s">
        <v>25</v>
      </c>
      <c r="B13" s="1" t="s">
        <v>4</v>
      </c>
      <c r="C13" t="s">
        <v>8</v>
      </c>
      <c r="D13" t="s">
        <v>9</v>
      </c>
      <c r="E13" t="s">
        <v>7</v>
      </c>
      <c r="F13" t="s">
        <v>10</v>
      </c>
      <c r="G13" t="s">
        <v>11</v>
      </c>
      <c r="K13" s="2" t="s">
        <v>26</v>
      </c>
      <c r="L13" s="1" t="s">
        <v>4</v>
      </c>
      <c r="M13" t="s">
        <v>8</v>
      </c>
      <c r="N13" t="s">
        <v>9</v>
      </c>
      <c r="O13" t="s">
        <v>7</v>
      </c>
      <c r="P13" t="s">
        <v>10</v>
      </c>
      <c r="Q13" t="s">
        <v>11</v>
      </c>
    </row>
    <row r="14" spans="1:17" x14ac:dyDescent="0.25">
      <c r="A14" t="s">
        <v>16</v>
      </c>
      <c r="B14" s="1">
        <f>G14-B$20*(C14-D14)-B$21*(E14-F14)</f>
        <v>156.40900000000002</v>
      </c>
      <c r="C14">
        <v>60</v>
      </c>
      <c r="D14">
        <v>30</v>
      </c>
      <c r="E14">
        <v>40</v>
      </c>
      <c r="F14">
        <v>30</v>
      </c>
      <c r="G14">
        <v>156.43</v>
      </c>
      <c r="K14" t="s">
        <v>20</v>
      </c>
      <c r="L14" s="1">
        <f>Q14-L$20*(M14-N14)-L$21*(O14-P14)</f>
        <v>156.10300000000001</v>
      </c>
      <c r="M14">
        <v>60</v>
      </c>
      <c r="N14">
        <v>30</v>
      </c>
      <c r="O14">
        <v>60</v>
      </c>
      <c r="P14">
        <v>30</v>
      </c>
      <c r="Q14">
        <v>156.43</v>
      </c>
    </row>
    <row r="15" spans="1:17" x14ac:dyDescent="0.25">
      <c r="A15" t="s">
        <v>17</v>
      </c>
      <c r="B15" s="1">
        <f>G15-B$20*(C15-D15)-B$21*(E15-F15)</f>
        <v>156.32100000000003</v>
      </c>
      <c r="C15">
        <v>40</v>
      </c>
      <c r="D15">
        <v>30</v>
      </c>
      <c r="E15">
        <v>40</v>
      </c>
      <c r="F15">
        <v>30</v>
      </c>
      <c r="G15">
        <v>156.43</v>
      </c>
      <c r="K15" t="s">
        <v>21</v>
      </c>
      <c r="L15" s="1">
        <f>Q15-L$20*(M15-N15)-L$21*(O15-P15)</f>
        <v>156.01500000000001</v>
      </c>
      <c r="M15">
        <v>40</v>
      </c>
      <c r="N15">
        <v>30</v>
      </c>
      <c r="O15">
        <v>60</v>
      </c>
      <c r="P15">
        <v>30</v>
      </c>
      <c r="Q15">
        <v>156.43</v>
      </c>
    </row>
    <row r="16" spans="1:17" x14ac:dyDescent="0.25">
      <c r="A16" t="s">
        <v>18</v>
      </c>
      <c r="B16" s="1">
        <f>G16-B$20*(C16-D16)-B$21*(E16-F16)</f>
        <v>156.233</v>
      </c>
      <c r="C16">
        <v>20</v>
      </c>
      <c r="D16">
        <v>30</v>
      </c>
      <c r="E16">
        <v>40</v>
      </c>
      <c r="F16">
        <v>30</v>
      </c>
      <c r="G16">
        <v>156.43</v>
      </c>
      <c r="K16" t="s">
        <v>22</v>
      </c>
      <c r="L16" s="1">
        <f>Q16-L$20*(M16-N16)-L$21*(O16-P16)</f>
        <v>155.92699999999999</v>
      </c>
      <c r="M16">
        <v>20</v>
      </c>
      <c r="N16">
        <v>30</v>
      </c>
      <c r="O16">
        <v>60</v>
      </c>
      <c r="P16">
        <v>30</v>
      </c>
      <c r="Q16">
        <v>156.43</v>
      </c>
    </row>
    <row r="17" spans="1:17" x14ac:dyDescent="0.25">
      <c r="A17" t="s">
        <v>19</v>
      </c>
      <c r="B17" s="1">
        <f>G17-B$20*(C17-D17)-B$21*(E17-F17)</f>
        <v>156.14500000000001</v>
      </c>
      <c r="C17">
        <v>0</v>
      </c>
      <c r="D17">
        <v>30</v>
      </c>
      <c r="E17">
        <v>40</v>
      </c>
      <c r="F17">
        <v>30</v>
      </c>
      <c r="G17">
        <v>156.43</v>
      </c>
      <c r="K17" t="s">
        <v>23</v>
      </c>
      <c r="L17" s="1">
        <f>Q17-L$20*(M17-N17)-L$21*(O17-P17)</f>
        <v>155.839</v>
      </c>
      <c r="M17">
        <v>0</v>
      </c>
      <c r="N17">
        <v>30</v>
      </c>
      <c r="O17">
        <v>60</v>
      </c>
      <c r="P17">
        <v>30</v>
      </c>
      <c r="Q17">
        <v>156.43</v>
      </c>
    </row>
    <row r="20" spans="1:17" x14ac:dyDescent="0.25">
      <c r="A20" t="s">
        <v>5</v>
      </c>
      <c r="B20">
        <v>-4.4000000000000003E-3</v>
      </c>
      <c r="K20" t="s">
        <v>5</v>
      </c>
      <c r="L20">
        <v>-4.4000000000000003E-3</v>
      </c>
    </row>
    <row r="21" spans="1:17" x14ac:dyDescent="0.25">
      <c r="A21" t="s">
        <v>6</v>
      </c>
      <c r="B21">
        <v>1.5299999999999999E-2</v>
      </c>
      <c r="K21" t="s">
        <v>6</v>
      </c>
      <c r="L21">
        <v>1.5299999999999999E-2</v>
      </c>
    </row>
    <row r="23" spans="1:17" x14ac:dyDescent="0.25">
      <c r="B23" t="s">
        <v>28</v>
      </c>
      <c r="C23" t="s">
        <v>29</v>
      </c>
      <c r="D23" t="s">
        <v>30</v>
      </c>
    </row>
    <row r="24" spans="1:17" x14ac:dyDescent="0.25">
      <c r="A24" t="s">
        <v>1</v>
      </c>
      <c r="B24">
        <v>157.02000000000001</v>
      </c>
      <c r="C24">
        <v>157.24</v>
      </c>
      <c r="D24">
        <f>C24-B24</f>
        <v>0.21999999999999886</v>
      </c>
      <c r="J24" s="4" t="s">
        <v>35</v>
      </c>
      <c r="K24" s="4"/>
      <c r="L24" s="4"/>
      <c r="M24" s="4"/>
      <c r="N24" s="4"/>
    </row>
    <row r="25" spans="1:17" x14ac:dyDescent="0.25">
      <c r="A25" t="s">
        <v>2</v>
      </c>
      <c r="B25">
        <v>156.93</v>
      </c>
      <c r="C25">
        <v>158.28</v>
      </c>
      <c r="D25">
        <f>C25-B25</f>
        <v>1.3499999999999943</v>
      </c>
      <c r="J25" s="3" t="s">
        <v>31</v>
      </c>
      <c r="K25" s="3">
        <v>0.21999999999999886</v>
      </c>
      <c r="L25" s="3">
        <v>-0.59000000000000341</v>
      </c>
      <c r="M25" s="3">
        <v>-1.039999999999992</v>
      </c>
      <c r="N25" s="3">
        <v>-1.7599999999999909</v>
      </c>
    </row>
    <row r="26" spans="1:17" x14ac:dyDescent="0.25">
      <c r="A26" t="s">
        <v>3</v>
      </c>
      <c r="B26">
        <v>156.84</v>
      </c>
      <c r="C26">
        <v>158.22</v>
      </c>
      <c r="D26">
        <f>C26-B26</f>
        <v>1.3799999999999955</v>
      </c>
      <c r="J26" s="3" t="s">
        <v>32</v>
      </c>
      <c r="K26" s="3">
        <v>1.3499999999999943</v>
      </c>
      <c r="L26" s="3">
        <v>0.21999999999999886</v>
      </c>
      <c r="M26" s="3">
        <v>-0.45999999999997954</v>
      </c>
      <c r="N26" s="3">
        <v>-1.2999999999999829</v>
      </c>
    </row>
    <row r="27" spans="1:17" x14ac:dyDescent="0.25">
      <c r="A27" t="s">
        <v>0</v>
      </c>
      <c r="B27">
        <v>156.76</v>
      </c>
      <c r="C27">
        <v>158.26</v>
      </c>
      <c r="D27">
        <f>C27-B27</f>
        <v>1.5</v>
      </c>
      <c r="J27" s="3" t="s">
        <v>33</v>
      </c>
      <c r="K27" s="3">
        <v>1.3799999999999955</v>
      </c>
      <c r="L27" s="3">
        <v>0.51000000000001933</v>
      </c>
      <c r="M27" s="3">
        <v>-9.9999999999994316E-2</v>
      </c>
      <c r="N27" s="3">
        <v>-0.63999999999998636</v>
      </c>
    </row>
    <row r="28" spans="1:17" x14ac:dyDescent="0.25">
      <c r="J28" s="3" t="s">
        <v>34</v>
      </c>
      <c r="K28" s="3">
        <v>1.5</v>
      </c>
      <c r="L28" s="3">
        <v>0.91000000000002501</v>
      </c>
      <c r="M28" s="3">
        <v>2.0000000000010232E-2</v>
      </c>
      <c r="N28" s="3">
        <v>-0.59999999999999432</v>
      </c>
    </row>
    <row r="29" spans="1:17" x14ac:dyDescent="0.25">
      <c r="J29" s="3"/>
      <c r="K29" s="3">
        <v>1</v>
      </c>
      <c r="L29" s="3">
        <v>2</v>
      </c>
      <c r="M29" s="3">
        <v>3</v>
      </c>
      <c r="N29" s="3">
        <v>4</v>
      </c>
    </row>
    <row r="30" spans="1:17" x14ac:dyDescent="0.25">
      <c r="A30" t="s">
        <v>12</v>
      </c>
      <c r="B30">
        <v>156.71</v>
      </c>
      <c r="C30">
        <v>156.12</v>
      </c>
      <c r="D30">
        <f t="shared" ref="D30:D45" si="0">C30-B30</f>
        <v>-0.59000000000000341</v>
      </c>
    </row>
    <row r="31" spans="1:17" x14ac:dyDescent="0.25">
      <c r="A31" t="s">
        <v>13</v>
      </c>
      <c r="B31">
        <v>156.62</v>
      </c>
      <c r="C31">
        <v>156.84</v>
      </c>
      <c r="D31">
        <f t="shared" si="0"/>
        <v>0.21999999999999886</v>
      </c>
    </row>
    <row r="32" spans="1:17" x14ac:dyDescent="0.25">
      <c r="A32" t="s">
        <v>14</v>
      </c>
      <c r="B32">
        <v>156.54</v>
      </c>
      <c r="C32">
        <v>157.05000000000001</v>
      </c>
      <c r="D32">
        <f t="shared" si="0"/>
        <v>0.51000000000001933</v>
      </c>
      <c r="J32" t="s">
        <v>36</v>
      </c>
    </row>
    <row r="33" spans="1:10" x14ac:dyDescent="0.25">
      <c r="A33" t="s">
        <v>15</v>
      </c>
      <c r="B33">
        <v>156.44999999999999</v>
      </c>
      <c r="C33">
        <v>157.36000000000001</v>
      </c>
      <c r="D33">
        <f t="shared" si="0"/>
        <v>0.91000000000002501</v>
      </c>
    </row>
    <row r="36" spans="1:10" x14ac:dyDescent="0.25">
      <c r="A36" t="s">
        <v>16</v>
      </c>
      <c r="B36">
        <v>156.4</v>
      </c>
      <c r="C36">
        <v>155.36000000000001</v>
      </c>
      <c r="D36">
        <f t="shared" si="0"/>
        <v>-1.039999999999992</v>
      </c>
    </row>
    <row r="37" spans="1:10" x14ac:dyDescent="0.25">
      <c r="A37" t="s">
        <v>17</v>
      </c>
      <c r="B37">
        <v>156.32</v>
      </c>
      <c r="C37">
        <v>155.86000000000001</v>
      </c>
      <c r="D37">
        <f t="shared" si="0"/>
        <v>-0.45999999999997954</v>
      </c>
    </row>
    <row r="38" spans="1:10" x14ac:dyDescent="0.25">
      <c r="A38" t="s">
        <v>18</v>
      </c>
      <c r="B38">
        <v>156.22999999999999</v>
      </c>
      <c r="C38">
        <v>156.13</v>
      </c>
      <c r="D38">
        <f t="shared" si="0"/>
        <v>-9.9999999999994316E-2</v>
      </c>
    </row>
    <row r="39" spans="1:10" x14ac:dyDescent="0.25">
      <c r="A39" t="s">
        <v>19</v>
      </c>
      <c r="B39">
        <v>156.13999999999999</v>
      </c>
      <c r="C39">
        <v>156.16</v>
      </c>
      <c r="D39">
        <f t="shared" si="0"/>
        <v>2.0000000000010232E-2</v>
      </c>
    </row>
    <row r="40" spans="1:10" x14ac:dyDescent="0.25">
      <c r="J40" t="s">
        <v>37</v>
      </c>
    </row>
    <row r="42" spans="1:10" x14ac:dyDescent="0.25">
      <c r="A42" t="s">
        <v>20</v>
      </c>
      <c r="B42">
        <v>156.1</v>
      </c>
      <c r="C42">
        <v>154.34</v>
      </c>
      <c r="D42">
        <f t="shared" si="0"/>
        <v>-1.7599999999999909</v>
      </c>
    </row>
    <row r="43" spans="1:10" x14ac:dyDescent="0.25">
      <c r="A43" t="s">
        <v>21</v>
      </c>
      <c r="B43">
        <v>156.01</v>
      </c>
      <c r="C43">
        <v>154.71</v>
      </c>
      <c r="D43">
        <f t="shared" si="0"/>
        <v>-1.2999999999999829</v>
      </c>
    </row>
    <row r="44" spans="1:10" x14ac:dyDescent="0.25">
      <c r="A44" t="s">
        <v>22</v>
      </c>
      <c r="B44">
        <v>155.91999999999999</v>
      </c>
      <c r="C44">
        <v>155.28</v>
      </c>
      <c r="D44">
        <f t="shared" si="0"/>
        <v>-0.63999999999998636</v>
      </c>
    </row>
    <row r="45" spans="1:10" x14ac:dyDescent="0.25">
      <c r="A45" t="s">
        <v>23</v>
      </c>
      <c r="B45">
        <v>155.84</v>
      </c>
      <c r="C45">
        <v>155.24</v>
      </c>
      <c r="D45">
        <f t="shared" si="0"/>
        <v>-0.59999999999999432</v>
      </c>
    </row>
  </sheetData>
  <mergeCells count="1">
    <mergeCell ref="J24:N2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ЭтаКнига.Pab_Otmetki">
                <anchor moveWithCells="1" sizeWithCells="1">
                  <from>
                    <xdr:col>9</xdr:col>
                    <xdr:colOff>9525</xdr:colOff>
                    <xdr:row>32</xdr:row>
                    <xdr:rowOff>28575</xdr:rowOff>
                  </from>
                  <to>
                    <xdr:col>11</xdr:col>
                    <xdr:colOff>762000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Кнопка2_Щелчок">
                <anchor moveWithCells="1" sizeWithCells="1">
                  <from>
                    <xdr:col>8</xdr:col>
                    <xdr:colOff>600075</xdr:colOff>
                    <xdr:row>40</xdr:row>
                    <xdr:rowOff>19050</xdr:rowOff>
                  </from>
                  <to>
                    <xdr:col>12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2018-04-02T09:21:33Z</dcterms:modified>
</cp:coreProperties>
</file>